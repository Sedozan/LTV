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er_web" sheetId="1" state="visible" r:id="rId3"/>
    <sheet name="classic_ag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<sst xmlns="http://schemas.openxmlformats.org/spreadsheetml/2006/main" count="106" uniqueCount="48">
  <si>
    <t xml:space="preserve">RENTER Expense-Ratio Validation (web channel)</t>
  </si>
  <si>
    <t xml:space="preserve">REUSE: clear yellow zones, paste fresh df_ltv ratios (Zone 1) + LTV_SPL raw $ (Zone 2). Zone 3 recomputes.</t>
  </si>
  <si>
    <t xml:space="preserve">ZONE 1 — PASTE df_ltv POLICY RATIOS  (channel=web)</t>
  </si>
  <si>
    <t xml:space="preserve">policy_id</t>
  </si>
  <si>
    <t xml:space="preserve">5778686908048</t>
  </si>
  <si>
    <t xml:space="preserve">item</t>
  </si>
  <si>
    <t xml:space="preserve">ratio_in_LTV_file</t>
  </si>
  <si>
    <t xml:space="preserve">acquisition_new</t>
  </si>
  <si>
    <t xml:space="preserve">acquisition_renew</t>
  </si>
  <si>
    <t xml:space="preserve">overhead_new</t>
  </si>
  <si>
    <t xml:space="preserve">overhead_renew</t>
  </si>
  <si>
    <t xml:space="preserve">lifetime_new</t>
  </si>
  <si>
    <t xml:space="preserve">lifetime_renew</t>
  </si>
  <si>
    <t xml:space="preserve">marketing_new</t>
  </si>
  <si>
    <t xml:space="preserve">marketing_renew</t>
  </si>
  <si>
    <t xml:space="preserve">commissions_new</t>
  </si>
  <si>
    <t xml:space="preserve">commissions_renew</t>
  </si>
  <si>
    <t xml:space="preserve">ZONE 2 — PASTE LTV_SPL RAW $  (WEB cols, row 15)</t>
  </si>
  <si>
    <t xml:space="preserve">component</t>
  </si>
  <si>
    <t xml:space="preserve">WEB_new</t>
  </si>
  <si>
    <t xml:space="preserve">WEB_renew</t>
  </si>
  <si>
    <t xml:space="preserve">earned_prem</t>
  </si>
  <si>
    <t xml:space="preserve">other_acq_x_mkt</t>
  </si>
  <si>
    <t xml:space="preserve">other_overhead</t>
  </si>
  <si>
    <t xml:space="preserve">commissions</t>
  </si>
  <si>
    <t xml:space="preserve">state_premium_tax</t>
  </si>
  <si>
    <t xml:space="preserve">write_offs</t>
  </si>
  <si>
    <t xml:space="preserve">assessments</t>
  </si>
  <si>
    <t xml:space="preserve">pay_fees</t>
  </si>
  <si>
    <t xml:space="preserve">misc_income_exp</t>
  </si>
  <si>
    <t xml:space="preserve">other_lifetime</t>
  </si>
  <si>
    <t xml:space="preserve">lower_funnel_advt</t>
  </si>
  <si>
    <t xml:space="preserve">other_mkt</t>
  </si>
  <si>
    <t xml:space="preserve">ZONE 3 — VALIDATION (all formulas; nothing typed)</t>
  </si>
  <si>
    <t xml:space="preserve">finance_numerator</t>
  </si>
  <si>
    <t xml:space="preserve">finance_denom</t>
  </si>
  <si>
    <t xml:space="preserve">expected_ratio</t>
  </si>
  <si>
    <t xml:space="preserve">match</t>
  </si>
  <si>
    <t xml:space="preserve">claims</t>
  </si>
  <si>
    <t xml:space="preserve">SKIP — hardcoded 0.035208, no Finance lookup (per story).</t>
  </si>
  <si>
    <t xml:space="preserve">CLASSIC Expense-Ratio Validation (agt channel = EA + IA)</t>
  </si>
  <si>
    <t xml:space="preserve">ZONE 1 — PASTE df_ltv POLICY RATIOS  (channel=agt)</t>
  </si>
  <si>
    <t xml:space="preserve">1844586908208</t>
  </si>
  <si>
    <t xml:space="preserve">ZONE 2 — PASTE LTV_SPL RAW $  (EA + IA cols, row 15)</t>
  </si>
  <si>
    <t xml:space="preserve">EA_new</t>
  </si>
  <si>
    <t xml:space="preserve">EA_renew</t>
  </si>
  <si>
    <t xml:space="preserve">IA_new</t>
  </si>
  <si>
    <t xml:space="preserve">IA_renew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</si>
</sst>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8" t="n">
        <v>0.0600052</v>
      </c>
    </row>
    <row r="8" customFormat="false" ht="15" hidden="false" customHeight="false" outlineLevel="0" collapsed="false">
      <c r="A8" s="7" t="s">
        <v>8</v>
      </c>
      <c r="B8" s="8" t="n">
        <v>0.007999</v>
      </c>
    </row>
    <row r="9" customFormat="false" ht="15" hidden="false" customHeight="false" outlineLevel="0" collapsed="false">
      <c r="A9" s="7" t="s">
        <v>9</v>
      </c>
      <c r="B9" s="8" t="n">
        <v>0.1442472</v>
      </c>
    </row>
    <row r="10" customFormat="false" ht="15" hidden="false" customHeight="false" outlineLevel="0" collapsed="false">
      <c r="A10" s="7" t="s">
        <v>10</v>
      </c>
      <c r="B10" s="8" t="n">
        <v>0.140695</v>
      </c>
    </row>
    <row r="11" customFormat="false" ht="15" hidden="false" customHeight="false" outlineLevel="0" collapsed="false">
      <c r="A11" s="7" t="s">
        <v>11</v>
      </c>
      <c r="B11" s="8" t="n">
        <v>0.060253</v>
      </c>
    </row>
    <row r="12" customFormat="false" ht="15" hidden="false" customHeight="false" outlineLevel="0" collapsed="false">
      <c r="A12" s="7" t="s">
        <v>12</v>
      </c>
      <c r="B12" s="8" t="n">
        <v>0.0585913</v>
      </c>
    </row>
    <row r="13" customFormat="false" ht="15" hidden="false" customHeight="false" outlineLevel="0" collapsed="false">
      <c r="A13" s="7" t="s">
        <v>13</v>
      </c>
      <c r="B13" s="8" t="n">
        <v>0.6716968</v>
      </c>
    </row>
    <row r="14" customFormat="false" ht="15" hidden="false" customHeight="false" outlineLevel="0" collapsed="false">
      <c r="A14" s="7" t="s">
        <v>14</v>
      </c>
      <c r="B14" s="8" t="n">
        <v>0.1014327</v>
      </c>
    </row>
    <row r="15" customFormat="false" ht="15" hidden="false" customHeight="false" outlineLevel="0" collapsed="false">
      <c r="A15" s="7" t="s">
        <v>15</v>
      </c>
      <c r="B15" s="8" t="n">
        <v>0</v>
      </c>
    </row>
    <row r="16" customFormat="false" ht="15" hidden="false" customHeight="false" outlineLevel="0" collapsed="false">
      <c r="A16" s="7" t="s">
        <v>16</v>
      </c>
      <c r="B16" s="8" t="n">
        <v>0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6" t="s">
        <v>18</v>
      </c>
      <c r="B18" s="6" t="s">
        <v>19</v>
      </c>
      <c r="C18" s="6" t="s">
        <v>20</v>
      </c>
    </row>
    <row r="19" customFormat="false" ht="15" hidden="false" customHeight="false" outlineLevel="0" collapsed="false">
      <c r="A19" s="7" t="s">
        <v>21</v>
      </c>
      <c r="B19" s="9" t="n">
        <v>57401898</v>
      </c>
      <c r="C19" s="9" t="n">
        <v>41073401</v>
      </c>
    </row>
    <row r="20" customFormat="false" ht="15" hidden="false" customHeight="false" outlineLevel="0" collapsed="false">
      <c r="A20" s="7" t="s">
        <v>22</v>
      </c>
      <c r="B20" s="9" t="n">
        <v>3444413</v>
      </c>
      <c r="C20" s="9" t="n">
        <v>328558</v>
      </c>
    </row>
    <row r="21" customFormat="false" ht="15" hidden="false" customHeight="false" outlineLevel="0" collapsed="false">
      <c r="A21" s="7" t="s">
        <v>23</v>
      </c>
      <c r="B21" s="9" t="n">
        <v>8280065</v>
      </c>
      <c r="C21" s="9" t="n">
        <v>5778824</v>
      </c>
    </row>
    <row r="22" customFormat="false" ht="15" hidden="false" customHeight="false" outlineLevel="0" collapsed="false">
      <c r="A22" s="7" t="s">
        <v>24</v>
      </c>
      <c r="B22" s="9" t="n">
        <v>0</v>
      </c>
      <c r="C22" s="9" t="n">
        <v>0</v>
      </c>
    </row>
    <row r="23" customFormat="false" ht="15" hidden="false" customHeight="false" outlineLevel="0" collapsed="false">
      <c r="A23" s="7" t="s">
        <v>25</v>
      </c>
      <c r="B23" s="9" t="n">
        <v>1496442</v>
      </c>
      <c r="C23" s="9" t="n">
        <v>1070765</v>
      </c>
    </row>
    <row r="24" customFormat="false" ht="15" hidden="false" customHeight="false" outlineLevel="0" collapsed="false">
      <c r="A24" s="7" t="s">
        <v>26</v>
      </c>
      <c r="B24" s="9" t="n">
        <v>193971</v>
      </c>
      <c r="C24" s="9" t="n">
        <v>138794</v>
      </c>
    </row>
    <row r="25" customFormat="false" ht="15" hidden="false" customHeight="false" outlineLevel="0" collapsed="false">
      <c r="A25" s="7" t="s">
        <v>27</v>
      </c>
      <c r="B25" s="9" t="n">
        <v>41927</v>
      </c>
      <c r="C25" s="9" t="n">
        <v>30000</v>
      </c>
    </row>
    <row r="26" customFormat="false" ht="15" hidden="false" customHeight="false" outlineLevel="0" collapsed="false">
      <c r="A26" s="7" t="s">
        <v>28</v>
      </c>
      <c r="B26" s="9" t="n">
        <v>-1120467</v>
      </c>
      <c r="C26" s="9" t="n">
        <v>-801740</v>
      </c>
    </row>
    <row r="27" customFormat="false" ht="15" hidden="false" customHeight="false" outlineLevel="0" collapsed="false">
      <c r="A27" s="7" t="s">
        <v>29</v>
      </c>
      <c r="B27" s="9" t="n">
        <v>-88359</v>
      </c>
      <c r="C27" s="9" t="n">
        <v>-63225</v>
      </c>
    </row>
    <row r="28" customFormat="false" ht="15" hidden="false" customHeight="false" outlineLevel="0" collapsed="false">
      <c r="A28" s="7" t="s">
        <v>30</v>
      </c>
      <c r="B28" s="9" t="n">
        <v>2935140</v>
      </c>
      <c r="C28" s="9" t="n">
        <v>2031951</v>
      </c>
    </row>
    <row r="29" customFormat="false" ht="15" hidden="false" customHeight="false" outlineLevel="0" collapsed="false">
      <c r="A29" s="7" t="s">
        <v>31</v>
      </c>
      <c r="B29" s="9" t="n">
        <v>33791771</v>
      </c>
      <c r="C29" s="9" t="n">
        <v>2938415</v>
      </c>
    </row>
    <row r="30" customFormat="false" ht="15" hidden="false" customHeight="false" outlineLevel="0" collapsed="false">
      <c r="A30" s="7" t="s">
        <v>32</v>
      </c>
      <c r="B30" s="9" t="n">
        <v>4764906</v>
      </c>
      <c r="C30" s="9" t="n">
        <v>1227771</v>
      </c>
    </row>
    <row r="32" customFormat="false" ht="15" hidden="false" customHeight="false" outlineLevel="0" collapsed="false">
      <c r="A32" s="4" t="s">
        <v>33</v>
      </c>
    </row>
    <row r="33" customFormat="false" ht="15" hidden="false" customHeight="false" outlineLevel="0" collapsed="false">
      <c r="A33" s="6" t="s">
        <v>5</v>
      </c>
      <c r="B33" s="6" t="s">
        <v>34</v>
      </c>
      <c r="C33" s="6" t="s">
        <v>35</v>
      </c>
      <c r="D33" s="6" t="s">
        <v>36</v>
      </c>
      <c r="E33" s="6" t="s">
        <v>6</v>
      </c>
      <c r="F33" s="6" t="s">
        <v>37</v>
      </c>
    </row>
    <row r="34" customFormat="false" ht="15" hidden="false" customHeight="false" outlineLevel="0" collapsed="false">
      <c r="A34" s="7" t="s">
        <v>7</v>
      </c>
      <c r="B34" s="10" t="n">
        <f aca="false">B20</f>
        <v>3444413</v>
      </c>
      <c r="C34" s="10" t="n">
        <f aca="false">B19</f>
        <v>57401898</v>
      </c>
      <c r="D34" s="11" t="n">
        <f aca="false">IFERROR(B34/C34,0)</f>
        <v>0.0600052109775186</v>
      </c>
      <c r="E34" s="11" t="n">
        <f aca="false">B7</f>
        <v>0.0600052</v>
      </c>
      <c r="F34" s="12" t="str">
        <f aca="false">IF(ABS(D34-E34)&lt;0.0005,"MATCH","CHECK")</f>
        <v>MATCH</v>
      </c>
    </row>
    <row r="35" customFormat="false" ht="15" hidden="false" customHeight="false" outlineLevel="0" collapsed="false">
      <c r="A35" s="7" t="s">
        <v>8</v>
      </c>
      <c r="B35" s="10" t="n">
        <f aca="false">C20</f>
        <v>328558</v>
      </c>
      <c r="C35" s="10" t="n">
        <f aca="false">C19</f>
        <v>41073401</v>
      </c>
      <c r="D35" s="11" t="n">
        <f aca="false">IFERROR(B35/C35,0)</f>
        <v>0.00799928888284659</v>
      </c>
      <c r="E35" s="11" t="n">
        <f aca="false">B8</f>
        <v>0.007999</v>
      </c>
      <c r="F35" s="12" t="str">
        <f aca="false">IF(ABS(D35-E35)&lt;0.0005,"MATCH","CHECK")</f>
        <v>MATCH</v>
      </c>
    </row>
    <row r="36" customFormat="false" ht="15" hidden="false" customHeight="false" outlineLevel="0" collapsed="false">
      <c r="A36" s="7" t="s">
        <v>9</v>
      </c>
      <c r="B36" s="10" t="n">
        <f aca="false">B21</f>
        <v>8280065</v>
      </c>
      <c r="C36" s="10" t="n">
        <f aca="false">B19</f>
        <v>57401898</v>
      </c>
      <c r="D36" s="11" t="n">
        <f aca="false">IFERROR(B36/C36,0)</f>
        <v>0.144247233776138</v>
      </c>
      <c r="E36" s="11" t="n">
        <f aca="false">B9</f>
        <v>0.1442472</v>
      </c>
      <c r="F36" s="12" t="str">
        <f aca="false">IF(ABS(D36-E36)&lt;0.0005,"MATCH","CHECK")</f>
        <v>MATCH</v>
      </c>
    </row>
    <row r="37" customFormat="false" ht="15" hidden="false" customHeight="false" outlineLevel="0" collapsed="false">
      <c r="A37" s="7" t="s">
        <v>10</v>
      </c>
      <c r="B37" s="10" t="n">
        <f aca="false">C21</f>
        <v>5778824</v>
      </c>
      <c r="C37" s="10" t="n">
        <f aca="false">C19</f>
        <v>41073401</v>
      </c>
      <c r="D37" s="11" t="n">
        <f aca="false">IFERROR(B37/C37,0)</f>
        <v>0.140695044951354</v>
      </c>
      <c r="E37" s="11" t="n">
        <f aca="false">B10</f>
        <v>0.140695</v>
      </c>
      <c r="F37" s="12" t="str">
        <f aca="false">IF(ABS(D37-E37)&lt;0.0005,"MATCH","CHECK")</f>
        <v>MATCH</v>
      </c>
    </row>
    <row r="38" customFormat="false" ht="15" hidden="false" customHeight="false" outlineLevel="0" collapsed="false">
      <c r="A38" s="7" t="s">
        <v>11</v>
      </c>
      <c r="B38" s="10" t="n">
        <f aca="false">B23+B24+B25+B26+B27+B28</f>
        <v>3458654</v>
      </c>
      <c r="C38" s="10" t="n">
        <f aca="false">B19</f>
        <v>57401898</v>
      </c>
      <c r="D38" s="11" t="n">
        <f aca="false">IFERROR(B38/C38,0)</f>
        <v>0.0602533038193267</v>
      </c>
      <c r="E38" s="11" t="n">
        <f aca="false">B11</f>
        <v>0.060253</v>
      </c>
      <c r="F38" s="12" t="str">
        <f aca="false">IF(ABS(D38-E38)&lt;0.0005,"MATCH","CHECK")</f>
        <v>MATCH</v>
      </c>
    </row>
    <row r="39" customFormat="false" ht="15" hidden="false" customHeight="false" outlineLevel="0" collapsed="false">
      <c r="A39" s="7" t="s">
        <v>12</v>
      </c>
      <c r="B39" s="10" t="n">
        <f aca="false">C23+C24+C25+C26+C27+C28</f>
        <v>2406545</v>
      </c>
      <c r="C39" s="10" t="n">
        <f aca="false">C19</f>
        <v>41073401</v>
      </c>
      <c r="D39" s="11" t="n">
        <f aca="false">IFERROR(B39/C39,0)</f>
        <v>0.058591325320248</v>
      </c>
      <c r="E39" s="11" t="n">
        <f aca="false">B12</f>
        <v>0.0585913</v>
      </c>
      <c r="F39" s="12" t="str">
        <f aca="false">IF(ABS(D39-E39)&lt;0.0005,"MATCH","CHECK")</f>
        <v>MATCH</v>
      </c>
    </row>
    <row r="40" customFormat="false" ht="15" hidden="false" customHeight="false" outlineLevel="0" collapsed="false">
      <c r="A40" s="7" t="s">
        <v>13</v>
      </c>
      <c r="B40" s="10" t="n">
        <f aca="false">B29+B30</f>
        <v>38556677</v>
      </c>
      <c r="C40" s="10" t="n">
        <f aca="false">B19</f>
        <v>57401898</v>
      </c>
      <c r="D40" s="11" t="n">
        <f aca="false">IFERROR(B40/C40,0)</f>
        <v>0.671696901032785</v>
      </c>
      <c r="E40" s="11" t="n">
        <f aca="false">B13</f>
        <v>0.6716968</v>
      </c>
      <c r="F40" s="12" t="str">
        <f aca="false">IF(ABS(D40-E40)&lt;0.0005,"MATCH","CHECK")</f>
        <v>MATCH</v>
      </c>
    </row>
    <row r="41" customFormat="false" ht="15" hidden="false" customHeight="false" outlineLevel="0" collapsed="false">
      <c r="A41" s="7" t="s">
        <v>14</v>
      </c>
      <c r="B41" s="10" t="n">
        <f aca="false">C29+C30</f>
        <v>4166186</v>
      </c>
      <c r="C41" s="10" t="n">
        <f aca="false">C19</f>
        <v>41073401</v>
      </c>
      <c r="D41" s="11" t="n">
        <f aca="false">IFERROR(B41/C41,0)</f>
        <v>0.101432700934602</v>
      </c>
      <c r="E41" s="11" t="n">
        <f aca="false">B14</f>
        <v>0.1014327</v>
      </c>
      <c r="F41" s="12" t="str">
        <f aca="false">IF(ABS(D41-E41)&lt;0.0005,"MATCH","CHECK")</f>
        <v>MATCH</v>
      </c>
    </row>
    <row r="42" customFormat="false" ht="15" hidden="false" customHeight="false" outlineLevel="0" collapsed="false">
      <c r="A42" s="7" t="s">
        <v>15</v>
      </c>
      <c r="B42" s="10" t="n">
        <f aca="false">B22</f>
        <v>0</v>
      </c>
      <c r="C42" s="10" t="n">
        <f aca="false">B19</f>
        <v>57401898</v>
      </c>
      <c r="D42" s="11" t="n">
        <f aca="false">IFERROR(B42/C42,0)</f>
        <v>0</v>
      </c>
      <c r="E42" s="11" t="n">
        <f aca="false">B15</f>
        <v>0</v>
      </c>
      <c r="F42" s="12" t="str">
        <f aca="false">IF(ABS(D42-E42)&lt;0.0005,"MATCH","CHECK")</f>
        <v>MATCH</v>
      </c>
    </row>
    <row r="43" customFormat="false" ht="15" hidden="false" customHeight="false" outlineLevel="0" collapsed="false">
      <c r="A43" s="7" t="s">
        <v>16</v>
      </c>
      <c r="B43" s="10" t="n">
        <f aca="false">C22</f>
        <v>0</v>
      </c>
      <c r="C43" s="10" t="n">
        <f aca="false">C19</f>
        <v>41073401</v>
      </c>
      <c r="D43" s="11" t="n">
        <f aca="false">IFERROR(B43/C43,0)</f>
        <v>0</v>
      </c>
      <c r="E43" s="11" t="n">
        <f aca="false">B16</f>
        <v>0</v>
      </c>
      <c r="F43" s="12" t="str">
        <f aca="false">IF(ABS(D43-E43)&lt;0.0005,"MATCH","CHECK")</f>
        <v>MATCH</v>
      </c>
    </row>
    <row r="44" customFormat="false" ht="15" hidden="false" customHeight="false" outlineLevel="0" collapsed="false">
      <c r="A44" s="4" t="s">
        <v>38</v>
      </c>
      <c r="B4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41</v>
      </c>
    </row>
    <row r="5" customFormat="false" ht="15" hidden="false" customHeight="false" outlineLevel="0" collapsed="false">
      <c r="A5" s="4" t="s">
        <v>3</v>
      </c>
      <c r="B5" s="5" t="s">
        <v>42</v>
      </c>
    </row>
    <row r="6" customFormat="false" ht="15" hidden="false" customHeight="false" outlineLevel="0" collapsed="false">
      <c r="A6" s="6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8" t="n">
        <v>0.3344403</v>
      </c>
    </row>
    <row r="8" customFormat="false" ht="15" hidden="false" customHeight="false" outlineLevel="0" collapsed="false">
      <c r="A8" s="7" t="s">
        <v>8</v>
      </c>
      <c r="B8" s="8" t="n">
        <v>0.001941</v>
      </c>
    </row>
    <row r="9" customFormat="false" ht="15" hidden="false" customHeight="false" outlineLevel="0" collapsed="false">
      <c r="A9" s="7" t="s">
        <v>9</v>
      </c>
      <c r="B9" s="8" t="n">
        <v>0.076627</v>
      </c>
    </row>
    <row r="10" customFormat="false" ht="15" hidden="false" customHeight="false" outlineLevel="0" collapsed="false">
      <c r="A10" s="7" t="s">
        <v>10</v>
      </c>
      <c r="B10" s="8" t="n">
        <v>0.059263</v>
      </c>
    </row>
    <row r="11" customFormat="false" ht="15" hidden="false" customHeight="false" outlineLevel="0" collapsed="false">
      <c r="A11" s="7" t="s">
        <v>11</v>
      </c>
      <c r="B11" s="8" t="n">
        <v>0.0306531</v>
      </c>
    </row>
    <row r="12" customFormat="false" ht="15" hidden="false" customHeight="false" outlineLevel="0" collapsed="false">
      <c r="A12" s="7" t="s">
        <v>12</v>
      </c>
      <c r="B12" s="8" t="n">
        <v>0.026643</v>
      </c>
    </row>
    <row r="13" customFormat="false" ht="15" hidden="false" customHeight="false" outlineLevel="0" collapsed="false">
      <c r="A13" s="7" t="s">
        <v>13</v>
      </c>
      <c r="B13" s="8" t="n">
        <v>0.089806</v>
      </c>
    </row>
    <row r="14" customFormat="false" ht="15" hidden="false" customHeight="false" outlineLevel="0" collapsed="false">
      <c r="A14" s="7" t="s">
        <v>14</v>
      </c>
      <c r="B14" s="8" t="n">
        <v>0.006959</v>
      </c>
    </row>
    <row r="15" customFormat="false" ht="15" hidden="false" customHeight="false" outlineLevel="0" collapsed="false">
      <c r="A15" s="7" t="s">
        <v>15</v>
      </c>
      <c r="B15" s="8" t="n">
        <v>0.074053</v>
      </c>
    </row>
    <row r="16" customFormat="false" ht="15" hidden="false" customHeight="false" outlineLevel="0" collapsed="false">
      <c r="A16" s="7" t="s">
        <v>16</v>
      </c>
      <c r="B16" s="8" t="n">
        <v>0.07362</v>
      </c>
    </row>
    <row r="17" customFormat="false" ht="15" hidden="false" customHeight="false" outlineLevel="0" collapsed="false">
      <c r="A17" s="3" t="s">
        <v>43</v>
      </c>
    </row>
    <row r="18" customFormat="false" ht="15" hidden="false" customHeight="false" outlineLevel="0" collapsed="false">
      <c r="A18" s="6" t="s">
        <v>18</v>
      </c>
      <c r="B18" s="6" t="s">
        <v>44</v>
      </c>
      <c r="C18" s="6" t="s">
        <v>45</v>
      </c>
      <c r="D18" s="6" t="s">
        <v>46</v>
      </c>
      <c r="E18" s="6" t="s">
        <v>47</v>
      </c>
    </row>
    <row r="19" customFormat="false" ht="15" hidden="false" customHeight="false" outlineLevel="0" collapsed="false">
      <c r="A19" s="7" t="s">
        <v>21</v>
      </c>
      <c r="B19" s="9" t="n">
        <v>446836970</v>
      </c>
      <c r="C19" s="9" t="n">
        <v>2325310435</v>
      </c>
      <c r="D19" s="9" t="n">
        <v>8130333</v>
      </c>
      <c r="E19" s="9" t="n">
        <v>160350749</v>
      </c>
    </row>
    <row r="20" customFormat="false" ht="15" hidden="false" customHeight="false" outlineLevel="0" collapsed="false">
      <c r="A20" s="7" t="s">
        <v>22</v>
      </c>
      <c r="B20" s="9" t="n">
        <v>151870076</v>
      </c>
      <c r="C20" s="9" t="n">
        <v>4814686</v>
      </c>
      <c r="D20" s="9" t="n">
        <v>289359</v>
      </c>
      <c r="E20" s="9" t="n">
        <v>9173</v>
      </c>
    </row>
    <row r="21" customFormat="false" ht="15" hidden="false" customHeight="false" outlineLevel="0" collapsed="false">
      <c r="A21" s="7" t="s">
        <v>23</v>
      </c>
      <c r="B21" s="9" t="n">
        <v>34286964</v>
      </c>
      <c r="C21" s="9" t="n">
        <v>144874523</v>
      </c>
      <c r="D21" s="9" t="n">
        <v>575734</v>
      </c>
      <c r="E21" s="9" t="n">
        <v>2432679</v>
      </c>
    </row>
    <row r="22" customFormat="false" ht="15" hidden="false" customHeight="false" outlineLevel="0" collapsed="false">
      <c r="A22" s="7" t="s">
        <v>24</v>
      </c>
      <c r="B22" s="9" t="n">
        <v>33163547</v>
      </c>
      <c r="C22" s="9" t="n">
        <v>172580936</v>
      </c>
      <c r="D22" s="9" t="n">
        <v>527984</v>
      </c>
      <c r="E22" s="9" t="n">
        <v>10413180</v>
      </c>
    </row>
    <row r="23" customFormat="false" ht="15" hidden="false" customHeight="false" outlineLevel="0" collapsed="false">
      <c r="A23" s="7" t="s">
        <v>25</v>
      </c>
      <c r="B23" s="9" t="n">
        <v>9990303</v>
      </c>
      <c r="C23" s="9" t="n">
        <v>51988886</v>
      </c>
      <c r="D23" s="9" t="n">
        <v>159052</v>
      </c>
      <c r="E23" s="9" t="n">
        <v>3136903</v>
      </c>
    </row>
    <row r="24" customFormat="false" ht="15" hidden="false" customHeight="false" outlineLevel="0" collapsed="false">
      <c r="A24" s="7" t="s">
        <v>26</v>
      </c>
      <c r="B24" s="9" t="n">
        <v>1294960</v>
      </c>
      <c r="C24" s="9" t="n">
        <v>6738887</v>
      </c>
      <c r="D24" s="9" t="n">
        <v>20617</v>
      </c>
      <c r="E24" s="9" t="n">
        <v>406611</v>
      </c>
    </row>
    <row r="25" customFormat="false" ht="15" hidden="false" customHeight="false" outlineLevel="0" collapsed="false">
      <c r="A25" s="7" t="s">
        <v>27</v>
      </c>
      <c r="B25" s="9" t="n">
        <v>279904</v>
      </c>
      <c r="C25" s="9" t="n">
        <v>1456603</v>
      </c>
      <c r="D25" s="9" t="n">
        <v>4456</v>
      </c>
      <c r="E25" s="9" t="n">
        <v>87888</v>
      </c>
    </row>
    <row r="26" customFormat="false" ht="15" hidden="false" customHeight="false" outlineLevel="0" collapsed="false">
      <c r="A26" s="7" t="s">
        <v>28</v>
      </c>
      <c r="B26" s="9" t="n">
        <v>-7480277</v>
      </c>
      <c r="C26" s="9" t="n">
        <v>-38926873</v>
      </c>
      <c r="D26" s="9" t="n">
        <v>-119091</v>
      </c>
      <c r="E26" s="9" t="n">
        <v>-2348768</v>
      </c>
    </row>
    <row r="27" customFormat="false" ht="15" hidden="false" customHeight="false" outlineLevel="0" collapsed="false">
      <c r="A27" s="7" t="s">
        <v>29</v>
      </c>
      <c r="B27" s="9" t="n">
        <v>-589889</v>
      </c>
      <c r="C27" s="9" t="n">
        <v>-3069744</v>
      </c>
      <c r="D27" s="9" t="n">
        <v>-9391</v>
      </c>
      <c r="E27" s="9" t="n">
        <v>-185222</v>
      </c>
    </row>
    <row r="28" customFormat="false" ht="15" hidden="false" customHeight="false" outlineLevel="0" collapsed="false">
      <c r="A28" s="7" t="s">
        <v>30</v>
      </c>
      <c r="B28" s="9" t="n">
        <v>10189589</v>
      </c>
      <c r="C28" s="9" t="n">
        <v>46009515</v>
      </c>
      <c r="D28" s="9" t="n">
        <v>205958</v>
      </c>
      <c r="E28" s="9" t="n">
        <v>929971</v>
      </c>
    </row>
    <row r="29" customFormat="false" ht="15" hidden="false" customHeight="false" outlineLevel="0" collapsed="false">
      <c r="A29" s="7" t="s">
        <v>31</v>
      </c>
      <c r="B29" s="9" t="n">
        <v>22578399</v>
      </c>
      <c r="C29" s="9" t="n">
        <v>1963339</v>
      </c>
      <c r="D29" s="9" t="n">
        <v>684496</v>
      </c>
      <c r="E29" s="9" t="n">
        <v>59521</v>
      </c>
    </row>
    <row r="30" customFormat="false" ht="15" hidden="false" customHeight="false" outlineLevel="0" collapsed="false">
      <c r="A30" s="7" t="s">
        <v>32</v>
      </c>
      <c r="B30" s="9" t="n">
        <v>17181311</v>
      </c>
      <c r="C30" s="9" t="n">
        <v>14915175</v>
      </c>
      <c r="D30" s="9" t="n">
        <v>414646</v>
      </c>
      <c r="E30" s="9" t="n">
        <v>359956</v>
      </c>
    </row>
    <row r="32" customFormat="false" ht="15" hidden="false" customHeight="false" outlineLevel="0" collapsed="false">
      <c r="A32" s="4" t="s">
        <v>33</v>
      </c>
    </row>
    <row r="33" customFormat="false" ht="15" hidden="false" customHeight="false" outlineLevel="0" collapsed="false">
      <c r="A33" s="6" t="s">
        <v>5</v>
      </c>
      <c r="B33" s="6" t="s">
        <v>34</v>
      </c>
      <c r="C33" s="6" t="s">
        <v>35</v>
      </c>
      <c r="D33" s="6" t="s">
        <v>36</v>
      </c>
      <c r="E33" s="6" t="s">
        <v>6</v>
      </c>
      <c r="F33" s="6" t="s">
        <v>37</v>
      </c>
    </row>
    <row r="34" customFormat="false" ht="15" hidden="false" customHeight="false" outlineLevel="0" collapsed="false">
      <c r="A34" s="7" t="s">
        <v>7</v>
      </c>
      <c r="B34" s="10" t="n">
        <f aca="false">(B20+D20)</f>
        <v>152159435</v>
      </c>
      <c r="C34" s="10" t="n">
        <f aca="false">(B19+D19)</f>
        <v>454967303</v>
      </c>
      <c r="D34" s="11" t="n">
        <f aca="false">IFERROR(B34/C34,0)</f>
        <v>0.334440374059144</v>
      </c>
      <c r="E34" s="11" t="n">
        <f aca="false">B7</f>
        <v>0.3344403</v>
      </c>
      <c r="F34" s="12" t="str">
        <f aca="false">IF(ABS(D34-E34)&lt;0.0005,"MATCH","CHECK")</f>
        <v>MATCH</v>
      </c>
    </row>
    <row r="35" customFormat="false" ht="15" hidden="false" customHeight="false" outlineLevel="0" collapsed="false">
      <c r="A35" s="7" t="s">
        <v>8</v>
      </c>
      <c r="B35" s="10" t="n">
        <f aca="false">(C20+E20)</f>
        <v>4823859</v>
      </c>
      <c r="C35" s="10" t="n">
        <f aca="false">(C19+E19)</f>
        <v>2485661184</v>
      </c>
      <c r="D35" s="11" t="n">
        <f aca="false">IFERROR(B35/C35,0)</f>
        <v>0.00194067438919302</v>
      </c>
      <c r="E35" s="11" t="n">
        <f aca="false">B8</f>
        <v>0.001941</v>
      </c>
      <c r="F35" s="12" t="str">
        <f aca="false">IF(ABS(D35-E35)&lt;0.0005,"MATCH","CHECK")</f>
        <v>MATCH</v>
      </c>
    </row>
    <row r="36" customFormat="false" ht="15" hidden="false" customHeight="false" outlineLevel="0" collapsed="false">
      <c r="A36" s="7" t="s">
        <v>9</v>
      </c>
      <c r="B36" s="10" t="n">
        <f aca="false">(B21+D21)</f>
        <v>34862698</v>
      </c>
      <c r="C36" s="10" t="n">
        <f aca="false">(B19+D19)</f>
        <v>454967303</v>
      </c>
      <c r="D36" s="11" t="n">
        <f aca="false">IFERROR(B36/C36,0)</f>
        <v>0.0766268208069449</v>
      </c>
      <c r="E36" s="11" t="n">
        <f aca="false">B9</f>
        <v>0.076627</v>
      </c>
      <c r="F36" s="12" t="str">
        <f aca="false">IF(ABS(D36-E36)&lt;0.0005,"MATCH","CHECK")</f>
        <v>MATCH</v>
      </c>
    </row>
    <row r="37" customFormat="false" ht="15" hidden="false" customHeight="false" outlineLevel="0" collapsed="false">
      <c r="A37" s="7" t="s">
        <v>10</v>
      </c>
      <c r="B37" s="10" t="n">
        <f aca="false">(C21+E21)</f>
        <v>147307202</v>
      </c>
      <c r="C37" s="10" t="n">
        <f aca="false">(C19+E19)</f>
        <v>2485661184</v>
      </c>
      <c r="D37" s="11" t="n">
        <f aca="false">IFERROR(B37/C37,0)</f>
        <v>0.0592627840625281</v>
      </c>
      <c r="E37" s="11" t="n">
        <f aca="false">B10</f>
        <v>0.059263</v>
      </c>
      <c r="F37" s="12" t="str">
        <f aca="false">IF(ABS(D37-E37)&lt;0.0005,"MATCH","CHECK")</f>
        <v>MATCH</v>
      </c>
    </row>
    <row r="38" customFormat="false" ht="15" hidden="false" customHeight="false" outlineLevel="0" collapsed="false">
      <c r="A38" s="7" t="s">
        <v>11</v>
      </c>
      <c r="B38" s="10" t="n">
        <f aca="false">(B23+D23)+(B24+D24)+(B25+D25)+(B26+D26)+(B27+D27)+(B28+D28)</f>
        <v>13946191</v>
      </c>
      <c r="C38" s="10" t="n">
        <f aca="false">(B19+D19)</f>
        <v>454967303</v>
      </c>
      <c r="D38" s="11" t="n">
        <f aca="false">IFERROR(B38/C38,0)</f>
        <v>0.0306531720148689</v>
      </c>
      <c r="E38" s="11" t="n">
        <f aca="false">B11</f>
        <v>0.0306531</v>
      </c>
      <c r="F38" s="12" t="str">
        <f aca="false">IF(ABS(D38-E38)&lt;0.0005,"MATCH","CHECK")</f>
        <v>MATCH</v>
      </c>
    </row>
    <row r="39" customFormat="false" ht="15" hidden="false" customHeight="false" outlineLevel="0" collapsed="false">
      <c r="A39" s="7" t="s">
        <v>12</v>
      </c>
      <c r="B39" s="10" t="n">
        <f aca="false">(C23+E23)+(C24+E24)+(C25+E25)+(C26+E26)+(C27+E27)+(C28+E28)</f>
        <v>66224657</v>
      </c>
      <c r="C39" s="10" t="n">
        <f aca="false">(C19+E19)</f>
        <v>2485661184</v>
      </c>
      <c r="D39" s="11" t="n">
        <f aca="false">IFERROR(B39/C39,0)</f>
        <v>0.0266426725517873</v>
      </c>
      <c r="E39" s="11" t="n">
        <f aca="false">B12</f>
        <v>0.026643</v>
      </c>
      <c r="F39" s="12" t="str">
        <f aca="false">IF(ABS(D39-E39)&lt;0.0005,"MATCH","CHECK")</f>
        <v>MATCH</v>
      </c>
    </row>
    <row r="40" customFormat="false" ht="15" hidden="false" customHeight="false" outlineLevel="0" collapsed="false">
      <c r="A40" s="7" t="s">
        <v>13</v>
      </c>
      <c r="B40" s="10" t="n">
        <f aca="false">(B29+D29)+(B30+D30)</f>
        <v>40858852</v>
      </c>
      <c r="C40" s="10" t="n">
        <f aca="false">(B19+D19)</f>
        <v>454967303</v>
      </c>
      <c r="D40" s="11" t="n">
        <f aca="false">IFERROR(B40/C40,0)</f>
        <v>0.0898061283318199</v>
      </c>
      <c r="E40" s="11" t="n">
        <f aca="false">B13</f>
        <v>0.089806</v>
      </c>
      <c r="F40" s="12" t="str">
        <f aca="false">IF(ABS(D40-E40)&lt;0.0005,"MATCH","CHECK")</f>
        <v>MATCH</v>
      </c>
    </row>
    <row r="41" customFormat="false" ht="15" hidden="false" customHeight="false" outlineLevel="0" collapsed="false">
      <c r="A41" s="7" t="s">
        <v>14</v>
      </c>
      <c r="B41" s="10" t="n">
        <f aca="false">(C29+E29)+(C30+E30)</f>
        <v>17297991</v>
      </c>
      <c r="C41" s="10" t="n">
        <f aca="false">(C19+E19)</f>
        <v>2485661184</v>
      </c>
      <c r="D41" s="11" t="n">
        <f aca="false">IFERROR(B41/C41,0)</f>
        <v>0.00695911056235088</v>
      </c>
      <c r="E41" s="11" t="n">
        <f aca="false">B14</f>
        <v>0.006959</v>
      </c>
      <c r="F41" s="12" t="str">
        <f aca="false">IF(ABS(D41-E41)&lt;0.0005,"MATCH","CHECK")</f>
        <v>MATCH</v>
      </c>
    </row>
    <row r="42" customFormat="false" ht="15" hidden="false" customHeight="false" outlineLevel="0" collapsed="false">
      <c r="A42" s="7" t="s">
        <v>15</v>
      </c>
      <c r="B42" s="10" t="n">
        <f aca="false">(B22+D22)</f>
        <v>33691531</v>
      </c>
      <c r="C42" s="10" t="n">
        <f aca="false">(B19+D19)</f>
        <v>454967303</v>
      </c>
      <c r="D42" s="11" t="n">
        <f aca="false">IFERROR(B42/C42,0)</f>
        <v>0.074052642415932</v>
      </c>
      <c r="E42" s="11" t="n">
        <f aca="false">B15</f>
        <v>0.074053</v>
      </c>
      <c r="F42" s="12" t="str">
        <f aca="false">IF(ABS(D42-E42)&lt;0.0005,"MATCH","CHECK")</f>
        <v>MATCH</v>
      </c>
    </row>
    <row r="43" customFormat="false" ht="15" hidden="false" customHeight="false" outlineLevel="0" collapsed="false">
      <c r="A43" s="7" t="s">
        <v>16</v>
      </c>
      <c r="B43" s="10" t="n">
        <f aca="false">(C22+E22)</f>
        <v>182994116</v>
      </c>
      <c r="C43" s="10" t="n">
        <f aca="false">(C19+E19)</f>
        <v>2485661184</v>
      </c>
      <c r="D43" s="11" t="n">
        <f aca="false">IFERROR(B43/C43,0)</f>
        <v>0.0736198952527876</v>
      </c>
      <c r="E43" s="11" t="n">
        <f aca="false">B16</f>
        <v>0.07362</v>
      </c>
      <c r="F43" s="12" t="str">
        <f aca="false">IF(ABS(D43-E43)&lt;0.0005,"MATCH","CHECK")</f>
        <v>MATCH</v>
      </c>
    </row>
    <row r="44" customFormat="false" ht="15" hidden="false" customHeight="false" outlineLevel="0" collapsed="false">
      <c r="A44" s="4" t="s">
        <v>38</v>
      </c>
      <c r="B4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2026-06-25T10:43:51Z</dcterms:created>
  <dc:creator>openpyxl</dc:creator>
  <dc:description/>
  <dc:language>en-US</dc:language>
  <cp:lastModifiedBy/>
  <dcterms:modified xsi:type="dcterms:W3CDTF">2026-06-25T10:43:51Z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